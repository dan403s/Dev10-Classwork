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ecutor\Desktop\public_html\dev10-software-guild-files\Assessments\HotelReservationSchema\"/>
    </mc:Choice>
  </mc:AlternateContent>
  <xr:revisionPtr revIDLastSave="0" documentId="13_ncr:1_{8C87A830-4C2C-406D-89B2-8C3938D58247}" xr6:coauthVersionLast="45" xr6:coauthVersionMax="45" xr10:uidLastSave="{00000000-0000-0000-0000-000000000000}"/>
  <bookViews>
    <workbookView xWindow="-93" yWindow="-93" windowWidth="25786" windowHeight="13986" xr2:uid="{ED9DBDBA-D602-438B-8AAC-9627AFF08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2" i="1" l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2" i="1"/>
  <c r="M21" i="1"/>
  <c r="M20" i="1"/>
  <c r="M19" i="1"/>
  <c r="M18" i="1"/>
  <c r="M23" i="1"/>
  <c r="M3" i="1"/>
  <c r="M4" i="1"/>
  <c r="M5" i="1"/>
  <c r="M6" i="1"/>
  <c r="M7" i="1"/>
  <c r="M8" i="1"/>
  <c r="M9" i="1"/>
  <c r="M10" i="1"/>
  <c r="M11" i="1"/>
  <c r="M12" i="1"/>
  <c r="M13" i="1"/>
  <c r="I18" i="1" l="1"/>
  <c r="M2" i="1"/>
  <c r="M100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76" i="1"/>
  <c r="M51" i="1"/>
  <c r="M59" i="1"/>
  <c r="J48" i="1"/>
  <c r="J49" i="1"/>
  <c r="J50" i="1"/>
  <c r="M50" i="1" s="1"/>
  <c r="J51" i="1"/>
  <c r="J52" i="1"/>
  <c r="J53" i="1"/>
  <c r="J54" i="1"/>
  <c r="J55" i="1"/>
  <c r="J56" i="1"/>
  <c r="J57" i="1"/>
  <c r="J58" i="1"/>
  <c r="M58" i="1" s="1"/>
  <c r="J59" i="1"/>
  <c r="J60" i="1"/>
  <c r="J61" i="1"/>
  <c r="J62" i="1"/>
  <c r="J63" i="1"/>
  <c r="J64" i="1"/>
  <c r="J47" i="1"/>
  <c r="I48" i="1"/>
  <c r="M48" i="1" s="1"/>
  <c r="I49" i="1"/>
  <c r="M49" i="1" s="1"/>
  <c r="I50" i="1"/>
  <c r="I51" i="1"/>
  <c r="I52" i="1"/>
  <c r="M52" i="1" s="1"/>
  <c r="I53" i="1"/>
  <c r="M53" i="1" s="1"/>
  <c r="I54" i="1"/>
  <c r="M54" i="1" s="1"/>
  <c r="I55" i="1"/>
  <c r="M55" i="1" s="1"/>
  <c r="I56" i="1"/>
  <c r="M56" i="1" s="1"/>
  <c r="I57" i="1"/>
  <c r="M57" i="1" s="1"/>
  <c r="I58" i="1"/>
  <c r="I59" i="1"/>
  <c r="I60" i="1"/>
  <c r="M60" i="1" s="1"/>
  <c r="I61" i="1"/>
  <c r="M61" i="1" s="1"/>
  <c r="I62" i="1"/>
  <c r="M62" i="1" s="1"/>
  <c r="I63" i="1"/>
  <c r="M63" i="1" s="1"/>
  <c r="I64" i="1"/>
  <c r="M64" i="1" s="1"/>
  <c r="I47" i="1"/>
  <c r="M47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18" i="1"/>
  <c r="I3" i="1"/>
  <c r="I4" i="1"/>
  <c r="I5" i="1"/>
  <c r="I6" i="1"/>
  <c r="I7" i="1"/>
  <c r="I8" i="1"/>
  <c r="I9" i="1"/>
  <c r="I10" i="1"/>
  <c r="I11" i="1"/>
  <c r="I12" i="1"/>
  <c r="I13" i="1"/>
  <c r="I2" i="1"/>
  <c r="J2" i="1"/>
  <c r="J3" i="1"/>
  <c r="J5" i="1"/>
  <c r="J6" i="1"/>
  <c r="J7" i="1"/>
  <c r="J8" i="1"/>
  <c r="J9" i="1"/>
  <c r="J10" i="1"/>
  <c r="J11" i="1"/>
  <c r="J12" i="1"/>
  <c r="J13" i="1"/>
  <c r="J4" i="1"/>
  <c r="I19" i="1" l="1"/>
  <c r="I26" i="1"/>
  <c r="I41" i="1"/>
  <c r="I33" i="1"/>
  <c r="I25" i="1"/>
  <c r="I34" i="1"/>
  <c r="I40" i="1"/>
  <c r="I32" i="1"/>
  <c r="I24" i="1"/>
  <c r="I39" i="1"/>
  <c r="I31" i="1"/>
  <c r="I23" i="1"/>
  <c r="I42" i="1"/>
  <c r="I38" i="1"/>
  <c r="I30" i="1"/>
  <c r="I22" i="1"/>
  <c r="I37" i="1"/>
  <c r="I29" i="1"/>
  <c r="I21" i="1"/>
  <c r="I36" i="1"/>
  <c r="I28" i="1"/>
  <c r="I20" i="1"/>
  <c r="I35" i="1"/>
  <c r="I27" i="1"/>
</calcChain>
</file>

<file path=xl/sharedStrings.xml><?xml version="1.0" encoding="utf-8"?>
<sst xmlns="http://schemas.openxmlformats.org/spreadsheetml/2006/main" count="177" uniqueCount="108">
  <si>
    <t>Mack Simmer</t>
  </si>
  <si>
    <t>379 Old Shore Street</t>
  </si>
  <si>
    <t>Council Bluffs</t>
  </si>
  <si>
    <t>IA</t>
  </si>
  <si>
    <t>Bettyann Seery</t>
  </si>
  <si>
    <t>750 Wintergreen Dr.</t>
  </si>
  <si>
    <t>Wasilla</t>
  </si>
  <si>
    <t>AK</t>
  </si>
  <si>
    <t>Duane Cullison</t>
  </si>
  <si>
    <t>9662 Foxrun Lane</t>
  </si>
  <si>
    <t>Harlingen</t>
  </si>
  <si>
    <t>TX</t>
  </si>
  <si>
    <t>Karie Yang</t>
  </si>
  <si>
    <t>9378 W. Augusta Ave.</t>
  </si>
  <si>
    <t>West Deptford</t>
  </si>
  <si>
    <t>NJ</t>
  </si>
  <si>
    <t>Aurore Lipton</t>
  </si>
  <si>
    <t>762 Wild Rose Street</t>
  </si>
  <si>
    <t>Saginaw</t>
  </si>
  <si>
    <t>MI</t>
  </si>
  <si>
    <t>Zachery Luechtefeld</t>
  </si>
  <si>
    <t>7 Poplar Dr.</t>
  </si>
  <si>
    <t>Arvada</t>
  </si>
  <si>
    <t>CO</t>
  </si>
  <si>
    <t>Jeremiah Pendergrass</t>
  </si>
  <si>
    <t>70 Oakwood St.</t>
  </si>
  <si>
    <t>Zion</t>
  </si>
  <si>
    <t>IL</t>
  </si>
  <si>
    <t>Walter Holaway</t>
  </si>
  <si>
    <t>7556 Arrowhead St.</t>
  </si>
  <si>
    <t>Cumberland</t>
  </si>
  <si>
    <t>RI</t>
  </si>
  <si>
    <t>Wilfred Vise</t>
  </si>
  <si>
    <t>77 West Surrey Street</t>
  </si>
  <si>
    <t>Oswego</t>
  </si>
  <si>
    <t>NY</t>
  </si>
  <si>
    <t>Maritza Tilton</t>
  </si>
  <si>
    <t>939 Linda Rd.</t>
  </si>
  <si>
    <t>Burke</t>
  </si>
  <si>
    <t>VA</t>
  </si>
  <si>
    <t>Joleen Tison</t>
  </si>
  <si>
    <t>87 Queen St.</t>
  </si>
  <si>
    <t>Drexel Hill</t>
  </si>
  <si>
    <t>PA</t>
  </si>
  <si>
    <t>Simmer</t>
  </si>
  <si>
    <t>Mack</t>
  </si>
  <si>
    <t>Seery</t>
  </si>
  <si>
    <t>Bettyann</t>
  </si>
  <si>
    <t>Duane</t>
  </si>
  <si>
    <t>Cullison</t>
  </si>
  <si>
    <t>Yang</t>
  </si>
  <si>
    <t>Lipton</t>
  </si>
  <si>
    <t>Vise</t>
  </si>
  <si>
    <t>Luechtefeld</t>
  </si>
  <si>
    <t>Pendergrass</t>
  </si>
  <si>
    <t>Holaway</t>
  </si>
  <si>
    <t>Tilton</t>
  </si>
  <si>
    <t>Tison</t>
  </si>
  <si>
    <t>Zachery</t>
  </si>
  <si>
    <t>Jeremiah</t>
  </si>
  <si>
    <t>Walter</t>
  </si>
  <si>
    <t>Wilfred</t>
  </si>
  <si>
    <t>Maritza</t>
  </si>
  <si>
    <t>Joleen</t>
  </si>
  <si>
    <t>Room Number</t>
  </si>
  <si>
    <t>Name</t>
  </si>
  <si>
    <t>Adults</t>
  </si>
  <si>
    <t>Children</t>
  </si>
  <si>
    <t>Start Date</t>
  </si>
  <si>
    <t>End Date</t>
  </si>
  <si>
    <t>Total Room Cost</t>
  </si>
  <si>
    <t>Address</t>
  </si>
  <si>
    <t>City</t>
  </si>
  <si>
    <t>State</t>
  </si>
  <si>
    <t>Zip</t>
  </si>
  <si>
    <t>Phone</t>
  </si>
  <si>
    <t>First Name</t>
  </si>
  <si>
    <t>Last Name</t>
  </si>
  <si>
    <t>GuestId</t>
  </si>
  <si>
    <t>ReservationId</t>
  </si>
  <si>
    <t>Full Name</t>
  </si>
  <si>
    <t>Karie</t>
  </si>
  <si>
    <t>Aurore</t>
  </si>
  <si>
    <t>StartDate</t>
  </si>
  <si>
    <t>EndDate</t>
  </si>
  <si>
    <t>Room</t>
  </si>
  <si>
    <t>Type</t>
  </si>
  <si>
    <t>Amenities</t>
  </si>
  <si>
    <t>ADA Accessible</t>
  </si>
  <si>
    <t>Standard Occupancy</t>
  </si>
  <si>
    <t>Maximum Occupancy</t>
  </si>
  <si>
    <t>Base Price</t>
  </si>
  <si>
    <t>Extra Person</t>
  </si>
  <si>
    <t>Double</t>
  </si>
  <si>
    <t>Microwave, Jacuzzi</t>
  </si>
  <si>
    <t>No</t>
  </si>
  <si>
    <t>Refrigerator</t>
  </si>
  <si>
    <t>Yes</t>
  </si>
  <si>
    <t>Single</t>
  </si>
  <si>
    <t>Microwave, Refrigerator, Jacuzzi</t>
  </si>
  <si>
    <t>NA</t>
  </si>
  <si>
    <t>Microwave, Refrigerator</t>
  </si>
  <si>
    <t>Microwave, Refrigerator,</t>
  </si>
  <si>
    <t>Suite</t>
  </si>
  <si>
    <t>Microwave, Refrigerator, Oven</t>
  </si>
  <si>
    <t>RoomTypeId</t>
  </si>
  <si>
    <t>RoomTypeName</t>
  </si>
  <si>
    <t>ADAAccessibility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</si>
</sst>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5"/>
      <color rgb="FF2D3B45"/>
      <name val="Verdana"/>
      <family val="2"/>
    </font>
    <font>
      <b/>
      <sz val="5"/>
      <color rgb="FFFFFFFF"/>
      <name val="Verdana"/>
      <family val="2"/>
    </font>
    <font>
      <b/>
      <sz val="5"/>
      <name val="Verdana"/>
      <family val="2"/>
    </font>
    <font>
      <sz val="5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71A1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8" fontId="1" fillId="3" borderId="0" xfId="0" applyNumberFormat="1" applyFont="1" applyFill="1" applyAlignment="1">
      <alignment horizontal="center" vertical="center" wrapText="1"/>
    </xf>
    <xf numFmtId="8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6" fontId="1" fillId="3" borderId="0" xfId="0" applyNumberFormat="1" applyFont="1" applyFill="1" applyAlignment="1">
      <alignment horizontal="center" vertical="center" wrapText="1"/>
    </xf>
    <xf numFmtId="6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vertical="center" wrapText="1"/>
    </xf>
    <xf numFmtId="8" fontId="4" fillId="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D878-0A0C-4023-8A1B-0F3B5A7C3FE4}">
  <dimension ref="A1:M100"/>
  <sheetViews>
    <sheetView tabSelected="1" topLeftCell="A10" zoomScale="85" zoomScaleNormal="85" workbookViewId="0">
      <selection activeCell="P27" sqref="P27"/>
    </sheetView>
  </sheetViews>
  <sheetFormatPr defaultRowHeight="14.35" x14ac:dyDescent="0.5"/>
  <cols>
    <col min="1" max="1" width="11.5859375" bestFit="1" customWidth="1"/>
    <col min="9" max="11" width="11.5859375" bestFit="1" customWidth="1"/>
    <col min="12" max="12" width="11.5859375" customWidth="1"/>
  </cols>
  <sheetData>
    <row r="1" spans="1:13" x14ac:dyDescent="0.5">
      <c r="A1" t="s">
        <v>78</v>
      </c>
      <c r="B1" s="5" t="s">
        <v>76</v>
      </c>
      <c r="C1" s="5" t="s">
        <v>77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t="s">
        <v>80</v>
      </c>
    </row>
    <row r="2" spans="1:13" x14ac:dyDescent="0.5">
      <c r="A2">
        <v>1</v>
      </c>
      <c r="B2" s="17"/>
      <c r="C2" s="17"/>
      <c r="D2" s="17"/>
      <c r="E2" s="17"/>
      <c r="F2" s="18"/>
      <c r="G2" s="17"/>
      <c r="H2" s="17"/>
      <c r="I2" t="str">
        <f>CONCATENATE(B2," ",C2)</f>
        <v xml:space="preserve"> </v>
      </c>
      <c r="J2">
        <f t="shared" ref="J2:J13" si="0">LEN(H2)</f>
        <v>0</v>
      </c>
      <c r="M2" t="str">
        <f>CONCATENATE("(",A2,", '",B2,"', '",C2,"', '",D2,"', '",E2,"' , '",F2,"', '",G2,"', '",H2,"'","),")</f>
        <v>(1, '', '', '', '' , '', '', ''),</v>
      </c>
    </row>
    <row r="3" spans="1:13" x14ac:dyDescent="0.5">
      <c r="A3">
        <v>2</v>
      </c>
      <c r="B3" s="1" t="s">
        <v>45</v>
      </c>
      <c r="C3" s="1" t="s">
        <v>44</v>
      </c>
      <c r="D3" s="1" t="s">
        <v>1</v>
      </c>
      <c r="E3" s="1" t="s">
        <v>2</v>
      </c>
      <c r="F3" s="2" t="s">
        <v>3</v>
      </c>
      <c r="G3" s="1">
        <v>51501</v>
      </c>
      <c r="H3" s="1">
        <v>2915530508</v>
      </c>
      <c r="I3" t="str">
        <f t="shared" ref="I3:I13" si="1">CONCATENATE(B3," ",C3)</f>
        <v>Mack Simmer</v>
      </c>
      <c r="J3">
        <f t="shared" si="0"/>
        <v>10</v>
      </c>
      <c r="M3" t="str">
        <f t="shared" ref="M3:M13" si="2">CONCATENATE("(",A3,", '",B3,"', '",C3,"', '",D3,"', '",E3,"' , '",F3,"', '",G3,"', '",H3,"'","),")</f>
        <v>(2, 'Mack', 'Simmer', '379 Old Shore Street', 'Council Bluffs' , 'IA', '51501', '2915530508'),</v>
      </c>
    </row>
    <row r="4" spans="1:13" ht="13.7" customHeight="1" x14ac:dyDescent="0.5">
      <c r="A4">
        <v>3</v>
      </c>
      <c r="B4" s="3" t="s">
        <v>47</v>
      </c>
      <c r="C4" s="3" t="s">
        <v>46</v>
      </c>
      <c r="D4" s="3" t="s">
        <v>5</v>
      </c>
      <c r="E4" s="3" t="s">
        <v>6</v>
      </c>
      <c r="F4" s="4" t="s">
        <v>7</v>
      </c>
      <c r="G4" s="3">
        <v>99654</v>
      </c>
      <c r="H4" s="3">
        <v>4782779632</v>
      </c>
      <c r="I4" t="str">
        <f t="shared" si="1"/>
        <v>Bettyann Seery</v>
      </c>
      <c r="J4">
        <f t="shared" si="0"/>
        <v>10</v>
      </c>
      <c r="M4" t="str">
        <f t="shared" si="2"/>
        <v>(3, 'Bettyann', 'Seery', '750 Wintergreen Dr.', 'Wasilla' , 'AK', '99654', '4782779632'),</v>
      </c>
    </row>
    <row r="5" spans="1:13" x14ac:dyDescent="0.5">
      <c r="A5">
        <v>4</v>
      </c>
      <c r="B5" s="1" t="s">
        <v>48</v>
      </c>
      <c r="C5" s="1" t="s">
        <v>49</v>
      </c>
      <c r="D5" s="1" t="s">
        <v>9</v>
      </c>
      <c r="E5" s="1" t="s">
        <v>10</v>
      </c>
      <c r="F5" s="2" t="s">
        <v>11</v>
      </c>
      <c r="G5" s="1">
        <v>78552</v>
      </c>
      <c r="H5" s="1">
        <v>3084940198</v>
      </c>
      <c r="I5" t="str">
        <f t="shared" si="1"/>
        <v>Duane Cullison</v>
      </c>
      <c r="J5">
        <f t="shared" si="0"/>
        <v>10</v>
      </c>
      <c r="M5" t="str">
        <f t="shared" si="2"/>
        <v>(4, 'Duane', 'Cullison', '9662 Foxrun Lane', 'Harlingen' , 'TX', '78552', '3084940198'),</v>
      </c>
    </row>
    <row r="6" spans="1:13" x14ac:dyDescent="0.5">
      <c r="A6">
        <v>5</v>
      </c>
      <c r="B6" s="3" t="s">
        <v>81</v>
      </c>
      <c r="C6" s="3" t="s">
        <v>50</v>
      </c>
      <c r="D6" s="3" t="s">
        <v>13</v>
      </c>
      <c r="E6" s="3" t="s">
        <v>14</v>
      </c>
      <c r="F6" s="4" t="s">
        <v>15</v>
      </c>
      <c r="G6" s="3">
        <v>8096</v>
      </c>
      <c r="H6" s="3">
        <v>2147300298</v>
      </c>
      <c r="I6" t="str">
        <f t="shared" si="1"/>
        <v>Karie Yang</v>
      </c>
      <c r="J6">
        <f t="shared" si="0"/>
        <v>10</v>
      </c>
      <c r="M6" t="str">
        <f t="shared" si="2"/>
        <v>(5, 'Karie', 'Yang', '9378 W. Augusta Ave.', 'West Deptford' , 'NJ', '8096', '2147300298'),</v>
      </c>
    </row>
    <row r="7" spans="1:13" x14ac:dyDescent="0.5">
      <c r="A7">
        <v>6</v>
      </c>
      <c r="B7" s="1" t="s">
        <v>82</v>
      </c>
      <c r="C7" s="1" t="s">
        <v>51</v>
      </c>
      <c r="D7" s="1" t="s">
        <v>17</v>
      </c>
      <c r="E7" s="1" t="s">
        <v>18</v>
      </c>
      <c r="F7" s="2" t="s">
        <v>19</v>
      </c>
      <c r="G7" s="1">
        <v>48601</v>
      </c>
      <c r="H7" s="1">
        <v>3775070974</v>
      </c>
      <c r="I7" t="str">
        <f t="shared" si="1"/>
        <v>Aurore Lipton</v>
      </c>
      <c r="J7">
        <f t="shared" si="0"/>
        <v>10</v>
      </c>
      <c r="M7" t="str">
        <f t="shared" si="2"/>
        <v>(6, 'Aurore', 'Lipton', '762 Wild Rose Street', 'Saginaw' , 'MI', '48601', '3775070974'),</v>
      </c>
    </row>
    <row r="8" spans="1:13" x14ac:dyDescent="0.5">
      <c r="A8">
        <v>7</v>
      </c>
      <c r="B8" s="3" t="s">
        <v>58</v>
      </c>
      <c r="C8" s="3" t="s">
        <v>53</v>
      </c>
      <c r="D8" s="3" t="s">
        <v>21</v>
      </c>
      <c r="E8" s="3" t="s">
        <v>22</v>
      </c>
      <c r="F8" s="4" t="s">
        <v>23</v>
      </c>
      <c r="G8" s="3">
        <v>80003</v>
      </c>
      <c r="H8" s="3">
        <v>8144852615</v>
      </c>
      <c r="I8" t="str">
        <f t="shared" si="1"/>
        <v>Zachery Luechtefeld</v>
      </c>
      <c r="J8">
        <f t="shared" si="0"/>
        <v>10</v>
      </c>
      <c r="M8" t="str">
        <f t="shared" si="2"/>
        <v>(7, 'Zachery', 'Luechtefeld', '7 Poplar Dr.', 'Arvada' , 'CO', '80003', '8144852615'),</v>
      </c>
    </row>
    <row r="9" spans="1:13" x14ac:dyDescent="0.5">
      <c r="A9">
        <v>8</v>
      </c>
      <c r="B9" s="1" t="s">
        <v>59</v>
      </c>
      <c r="C9" s="1" t="s">
        <v>54</v>
      </c>
      <c r="D9" s="1" t="s">
        <v>25</v>
      </c>
      <c r="E9" s="1" t="s">
        <v>26</v>
      </c>
      <c r="F9" s="2" t="s">
        <v>27</v>
      </c>
      <c r="G9" s="1">
        <v>60099</v>
      </c>
      <c r="H9" s="1">
        <v>2794910960</v>
      </c>
      <c r="I9" t="str">
        <f t="shared" si="1"/>
        <v>Jeremiah Pendergrass</v>
      </c>
      <c r="J9">
        <f t="shared" si="0"/>
        <v>10</v>
      </c>
      <c r="M9" t="str">
        <f t="shared" si="2"/>
        <v>(8, 'Jeremiah', 'Pendergrass', '70 Oakwood St.', 'Zion' , 'IL', '60099', '2794910960'),</v>
      </c>
    </row>
    <row r="10" spans="1:13" x14ac:dyDescent="0.5">
      <c r="A10">
        <v>9</v>
      </c>
      <c r="B10" s="3" t="s">
        <v>60</v>
      </c>
      <c r="C10" s="3" t="s">
        <v>55</v>
      </c>
      <c r="D10" s="3" t="s">
        <v>29</v>
      </c>
      <c r="E10" s="3" t="s">
        <v>30</v>
      </c>
      <c r="F10" s="4" t="s">
        <v>31</v>
      </c>
      <c r="G10" s="3">
        <v>2864</v>
      </c>
      <c r="H10" s="3">
        <v>4463966785</v>
      </c>
      <c r="I10" t="str">
        <f t="shared" si="1"/>
        <v>Walter Holaway</v>
      </c>
      <c r="J10">
        <f t="shared" si="0"/>
        <v>10</v>
      </c>
      <c r="M10" t="str">
        <f t="shared" si="2"/>
        <v>(9, 'Walter', 'Holaway', '7556 Arrowhead St.', 'Cumberland' , 'RI', '2864', '4463966785'),</v>
      </c>
    </row>
    <row r="11" spans="1:13" x14ac:dyDescent="0.5">
      <c r="A11">
        <v>10</v>
      </c>
      <c r="B11" s="1" t="s">
        <v>61</v>
      </c>
      <c r="C11" s="1" t="s">
        <v>52</v>
      </c>
      <c r="D11" s="1" t="s">
        <v>33</v>
      </c>
      <c r="E11" s="1" t="s">
        <v>34</v>
      </c>
      <c r="F11" s="2" t="s">
        <v>35</v>
      </c>
      <c r="G11" s="1">
        <v>13126</v>
      </c>
      <c r="H11" s="1">
        <v>8347271001</v>
      </c>
      <c r="I11" t="str">
        <f t="shared" si="1"/>
        <v>Wilfred Vise</v>
      </c>
      <c r="J11">
        <f t="shared" si="0"/>
        <v>10</v>
      </c>
      <c r="M11" t="str">
        <f t="shared" si="2"/>
        <v>(10, 'Wilfred', 'Vise', '77 West Surrey Street', 'Oswego' , 'NY', '13126', '8347271001'),</v>
      </c>
    </row>
    <row r="12" spans="1:13" x14ac:dyDescent="0.5">
      <c r="A12">
        <v>11</v>
      </c>
      <c r="B12" s="3" t="s">
        <v>62</v>
      </c>
      <c r="C12" s="3" t="s">
        <v>56</v>
      </c>
      <c r="D12" s="3" t="s">
        <v>37</v>
      </c>
      <c r="E12" s="3" t="s">
        <v>38</v>
      </c>
      <c r="F12" s="4" t="s">
        <v>39</v>
      </c>
      <c r="G12" s="3">
        <v>22015</v>
      </c>
      <c r="H12" s="3">
        <v>4463516860</v>
      </c>
      <c r="I12" t="str">
        <f t="shared" si="1"/>
        <v>Maritza Tilton</v>
      </c>
      <c r="J12">
        <f t="shared" si="0"/>
        <v>10</v>
      </c>
      <c r="M12" t="str">
        <f t="shared" si="2"/>
        <v>(11, 'Maritza', 'Tilton', '939 Linda Rd.', 'Burke' , 'VA', '22015', '4463516860'),</v>
      </c>
    </row>
    <row r="13" spans="1:13" x14ac:dyDescent="0.5">
      <c r="A13">
        <v>12</v>
      </c>
      <c r="B13" s="1" t="s">
        <v>63</v>
      </c>
      <c r="C13" s="1" t="s">
        <v>57</v>
      </c>
      <c r="D13" s="1" t="s">
        <v>41</v>
      </c>
      <c r="E13" s="1" t="s">
        <v>42</v>
      </c>
      <c r="F13" s="2" t="s">
        <v>43</v>
      </c>
      <c r="G13" s="1">
        <v>19026</v>
      </c>
      <c r="H13" s="1">
        <v>2318932755</v>
      </c>
      <c r="I13" t="str">
        <f t="shared" si="1"/>
        <v>Joleen Tison</v>
      </c>
      <c r="J13">
        <f t="shared" si="0"/>
        <v>10</v>
      </c>
      <c r="M13" t="str">
        <f t="shared" si="2"/>
        <v>(12, 'Joleen', 'Tison', '87 Queen St.', 'Drexel Hill' , 'PA', '19026', '2318932755'),</v>
      </c>
    </row>
    <row r="17" spans="1:13" x14ac:dyDescent="0.5">
      <c r="A17" t="s">
        <v>79</v>
      </c>
      <c r="B17" s="5" t="s">
        <v>64</v>
      </c>
      <c r="C17" s="5" t="s">
        <v>65</v>
      </c>
      <c r="D17" s="5" t="s">
        <v>66</v>
      </c>
      <c r="E17" s="5" t="s">
        <v>67</v>
      </c>
      <c r="F17" s="5" t="s">
        <v>68</v>
      </c>
      <c r="G17" s="5" t="s">
        <v>69</v>
      </c>
      <c r="H17" s="5" t="s">
        <v>70</v>
      </c>
      <c r="I17" t="s">
        <v>78</v>
      </c>
      <c r="K17" t="s">
        <v>83</v>
      </c>
      <c r="L17" t="s">
        <v>84</v>
      </c>
    </row>
    <row r="18" spans="1:13" x14ac:dyDescent="0.5">
      <c r="A18">
        <v>1</v>
      </c>
      <c r="B18" s="3">
        <v>308</v>
      </c>
      <c r="C18" s="3" t="s">
        <v>0</v>
      </c>
      <c r="D18" s="4">
        <v>1</v>
      </c>
      <c r="E18" s="4">
        <v>0</v>
      </c>
      <c r="F18" s="8">
        <v>44959</v>
      </c>
      <c r="G18" s="8">
        <v>44961</v>
      </c>
      <c r="H18" s="6">
        <v>299.98</v>
      </c>
      <c r="I18">
        <f>SUMIFS($A$2:$A$13,$I$2:$I$13,C18)</f>
        <v>2</v>
      </c>
      <c r="K18" t="str">
        <f>TEXT(F18,"YYYY-MM-DD")</f>
        <v>2023-02-02</v>
      </c>
      <c r="L18" t="str">
        <f>TEXT(G18,"YYYY-MM-DD")</f>
        <v>2023-02-04</v>
      </c>
      <c r="M18" t="str">
        <f t="shared" ref="M18:M42" si="3">CONCATENATE("(",A18,", ",I18,", ",D18,", ",E18,", '",K18,"', '",L18,"', ",H18,"),")</f>
        <v>(1, 2, 1, 0, '2023-02-02', '2023-02-04', 299.98),</v>
      </c>
    </row>
    <row r="19" spans="1:13" x14ac:dyDescent="0.5">
      <c r="A19">
        <v>2</v>
      </c>
      <c r="B19" s="1">
        <v>203</v>
      </c>
      <c r="C19" s="1" t="s">
        <v>4</v>
      </c>
      <c r="D19" s="2">
        <v>2</v>
      </c>
      <c r="E19" s="2">
        <v>1</v>
      </c>
      <c r="F19" s="9">
        <v>44962</v>
      </c>
      <c r="G19" s="9">
        <v>44967</v>
      </c>
      <c r="H19" s="7">
        <v>999.95</v>
      </c>
      <c r="I19">
        <f t="shared" ref="I19:I42" si="4">SUMIFS($A$2:$A$13,$I$2:$I$13,C19)</f>
        <v>3</v>
      </c>
      <c r="K19" t="str">
        <f t="shared" ref="K19:L42" si="5">TEXT(F19,"YYYY-MM-DD")</f>
        <v>2023-02-05</v>
      </c>
      <c r="L19" t="str">
        <f t="shared" si="5"/>
        <v>2023-02-10</v>
      </c>
      <c r="M19" t="str">
        <f t="shared" si="3"/>
        <v>(2, 3, 2, 1, '2023-02-05', '2023-02-10', 999.95),</v>
      </c>
    </row>
    <row r="20" spans="1:13" x14ac:dyDescent="0.5">
      <c r="A20">
        <v>3</v>
      </c>
      <c r="B20" s="3">
        <v>305</v>
      </c>
      <c r="C20" s="3" t="s">
        <v>8</v>
      </c>
      <c r="D20" s="4">
        <v>2</v>
      </c>
      <c r="E20" s="4">
        <v>0</v>
      </c>
      <c r="F20" s="8">
        <v>44979</v>
      </c>
      <c r="G20" s="8">
        <v>44981</v>
      </c>
      <c r="H20" s="6">
        <v>349.98</v>
      </c>
      <c r="I20">
        <f t="shared" si="4"/>
        <v>4</v>
      </c>
      <c r="K20" t="str">
        <f t="shared" si="5"/>
        <v>2023-02-22</v>
      </c>
      <c r="L20" t="str">
        <f t="shared" si="5"/>
        <v>2023-02-24</v>
      </c>
      <c r="M20" t="str">
        <f t="shared" si="3"/>
        <v>(3, 4, 2, 0, '2023-02-22', '2023-02-24', 349.98),</v>
      </c>
    </row>
    <row r="21" spans="1:13" x14ac:dyDescent="0.5">
      <c r="A21">
        <v>4</v>
      </c>
      <c r="B21" s="1">
        <v>201</v>
      </c>
      <c r="C21" s="1" t="s">
        <v>12</v>
      </c>
      <c r="D21" s="2">
        <v>2</v>
      </c>
      <c r="E21" s="2">
        <v>2</v>
      </c>
      <c r="F21" s="9">
        <v>44991</v>
      </c>
      <c r="G21" s="9">
        <v>44992</v>
      </c>
      <c r="H21" s="7">
        <v>199.99</v>
      </c>
      <c r="I21">
        <f t="shared" si="4"/>
        <v>5</v>
      </c>
      <c r="K21" t="str">
        <f t="shared" si="5"/>
        <v>2023-03-06</v>
      </c>
      <c r="L21" t="str">
        <f t="shared" si="5"/>
        <v>2023-03-07</v>
      </c>
      <c r="M21" t="str">
        <f t="shared" si="3"/>
        <v>(4, 5, 2, 2, '2023-03-06', '2023-03-07', 199.99),</v>
      </c>
    </row>
    <row r="22" spans="1:13" x14ac:dyDescent="0.5">
      <c r="A22">
        <v>5</v>
      </c>
      <c r="B22" s="3">
        <v>307</v>
      </c>
      <c r="C22" s="17"/>
      <c r="D22" s="4">
        <v>1</v>
      </c>
      <c r="E22" s="4">
        <v>1</v>
      </c>
      <c r="F22" s="8">
        <v>45002</v>
      </c>
      <c r="G22" s="8">
        <v>45005</v>
      </c>
      <c r="H22" s="6">
        <v>524.97</v>
      </c>
      <c r="I22">
        <f t="shared" si="4"/>
        <v>0</v>
      </c>
      <c r="K22" t="str">
        <f t="shared" si="5"/>
        <v>2023-03-17</v>
      </c>
      <c r="L22" t="str">
        <f t="shared" si="5"/>
        <v>2023-03-20</v>
      </c>
      <c r="M22" t="str">
        <f t="shared" si="3"/>
        <v>(5, 0, 1, 1, '2023-03-17', '2023-03-20', 524.97),</v>
      </c>
    </row>
    <row r="23" spans="1:13" x14ac:dyDescent="0.5">
      <c r="A23">
        <v>6</v>
      </c>
      <c r="B23" s="1">
        <v>302</v>
      </c>
      <c r="C23" s="1" t="s">
        <v>16</v>
      </c>
      <c r="D23" s="2">
        <v>3</v>
      </c>
      <c r="E23" s="2">
        <v>0</v>
      </c>
      <c r="F23" s="9">
        <v>45003</v>
      </c>
      <c r="G23" s="9">
        <v>45008</v>
      </c>
      <c r="H23" s="7">
        <v>924.95</v>
      </c>
      <c r="I23">
        <f t="shared" si="4"/>
        <v>6</v>
      </c>
      <c r="K23" t="str">
        <f t="shared" si="5"/>
        <v>2023-03-18</v>
      </c>
      <c r="L23" t="str">
        <f t="shared" si="5"/>
        <v>2023-03-23</v>
      </c>
      <c r="M23" t="str">
        <f t="shared" si="3"/>
        <v>(6, 6, 3, 0, '2023-03-18', '2023-03-23', 924.95),</v>
      </c>
    </row>
    <row r="24" spans="1:13" x14ac:dyDescent="0.5">
      <c r="A24">
        <v>7</v>
      </c>
      <c r="B24" s="3">
        <v>202</v>
      </c>
      <c r="C24" s="3" t="s">
        <v>20</v>
      </c>
      <c r="D24" s="4">
        <v>2</v>
      </c>
      <c r="E24" s="4">
        <v>2</v>
      </c>
      <c r="F24" s="8">
        <v>45014</v>
      </c>
      <c r="G24" s="8">
        <v>45016</v>
      </c>
      <c r="H24" s="6">
        <v>349.98</v>
      </c>
      <c r="I24">
        <f t="shared" si="4"/>
        <v>7</v>
      </c>
      <c r="K24" t="str">
        <f t="shared" si="5"/>
        <v>2023-03-29</v>
      </c>
      <c r="L24" t="str">
        <f t="shared" si="5"/>
        <v>2023-03-31</v>
      </c>
      <c r="M24" t="str">
        <f t="shared" si="3"/>
        <v>(7, 7, 2, 2, '2023-03-29', '2023-03-31', 349.98),</v>
      </c>
    </row>
    <row r="25" spans="1:13" x14ac:dyDescent="0.5">
      <c r="A25">
        <v>8</v>
      </c>
      <c r="B25" s="1">
        <v>304</v>
      </c>
      <c r="C25" s="1" t="s">
        <v>24</v>
      </c>
      <c r="D25" s="2">
        <v>2</v>
      </c>
      <c r="E25" s="2">
        <v>0</v>
      </c>
      <c r="F25" s="9">
        <v>45016</v>
      </c>
      <c r="G25" s="9">
        <v>45021</v>
      </c>
      <c r="H25" s="7">
        <v>874.95</v>
      </c>
      <c r="I25">
        <f t="shared" si="4"/>
        <v>8</v>
      </c>
      <c r="K25" t="str">
        <f t="shared" si="5"/>
        <v>2023-03-31</v>
      </c>
      <c r="L25" t="str">
        <f t="shared" si="5"/>
        <v>2023-04-05</v>
      </c>
      <c r="M25" t="str">
        <f t="shared" si="3"/>
        <v>(8, 8, 2, 0, '2023-03-31', '2023-04-05', 874.95),</v>
      </c>
    </row>
    <row r="26" spans="1:13" x14ac:dyDescent="0.5">
      <c r="A26">
        <v>9</v>
      </c>
      <c r="B26" s="3">
        <v>301</v>
      </c>
      <c r="C26" s="3" t="s">
        <v>28</v>
      </c>
      <c r="D26" s="4">
        <v>1</v>
      </c>
      <c r="E26" s="4">
        <v>0</v>
      </c>
      <c r="F26" s="8">
        <v>45025</v>
      </c>
      <c r="G26" s="8">
        <v>45029</v>
      </c>
      <c r="H26" s="6">
        <v>799.96</v>
      </c>
      <c r="I26">
        <f t="shared" si="4"/>
        <v>9</v>
      </c>
      <c r="K26" t="str">
        <f t="shared" si="5"/>
        <v>2023-04-09</v>
      </c>
      <c r="L26" t="str">
        <f t="shared" si="5"/>
        <v>2023-04-13</v>
      </c>
      <c r="M26" t="str">
        <f t="shared" si="3"/>
        <v>(9, 9, 1, 0, '2023-04-09', '2023-04-13', 799.96),</v>
      </c>
    </row>
    <row r="27" spans="1:13" x14ac:dyDescent="0.5">
      <c r="A27">
        <v>10</v>
      </c>
      <c r="B27" s="1">
        <v>207</v>
      </c>
      <c r="C27" s="1" t="s">
        <v>32</v>
      </c>
      <c r="D27" s="2">
        <v>1</v>
      </c>
      <c r="E27" s="2">
        <v>1</v>
      </c>
      <c r="F27" s="9">
        <v>45039</v>
      </c>
      <c r="G27" s="9">
        <v>45040</v>
      </c>
      <c r="H27" s="7">
        <v>174.99</v>
      </c>
      <c r="I27">
        <f t="shared" si="4"/>
        <v>10</v>
      </c>
      <c r="K27" t="str">
        <f t="shared" si="5"/>
        <v>2023-04-23</v>
      </c>
      <c r="L27" t="str">
        <f t="shared" si="5"/>
        <v>2023-04-24</v>
      </c>
      <c r="M27" t="str">
        <f t="shared" si="3"/>
        <v>(10, 10, 1, 1, '2023-04-23', '2023-04-24', 174.99),</v>
      </c>
    </row>
    <row r="28" spans="1:13" x14ac:dyDescent="0.5">
      <c r="A28">
        <v>11</v>
      </c>
      <c r="B28" s="3">
        <v>401</v>
      </c>
      <c r="C28" s="3" t="s">
        <v>36</v>
      </c>
      <c r="D28" s="4">
        <v>2</v>
      </c>
      <c r="E28" s="4">
        <v>4</v>
      </c>
      <c r="F28" s="8">
        <v>45076</v>
      </c>
      <c r="G28" s="8">
        <v>45079</v>
      </c>
      <c r="H28" s="6">
        <v>1199.97</v>
      </c>
      <c r="I28">
        <f t="shared" si="4"/>
        <v>11</v>
      </c>
      <c r="K28" t="str">
        <f t="shared" si="5"/>
        <v>2023-05-30</v>
      </c>
      <c r="L28" t="str">
        <f t="shared" si="5"/>
        <v>2023-06-02</v>
      </c>
      <c r="M28" t="str">
        <f t="shared" si="3"/>
        <v>(11, 11, 2, 4, '2023-05-30', '2023-06-02', 1199.97),</v>
      </c>
    </row>
    <row r="29" spans="1:13" x14ac:dyDescent="0.5">
      <c r="A29">
        <v>12</v>
      </c>
      <c r="B29" s="1">
        <v>206</v>
      </c>
      <c r="C29" s="1" t="s">
        <v>40</v>
      </c>
      <c r="D29" s="2">
        <v>2</v>
      </c>
      <c r="E29" s="2">
        <v>0</v>
      </c>
      <c r="F29" s="9">
        <v>45087</v>
      </c>
      <c r="G29" s="9">
        <v>45091</v>
      </c>
      <c r="H29" s="7">
        <v>599.96</v>
      </c>
      <c r="I29">
        <f t="shared" si="4"/>
        <v>12</v>
      </c>
      <c r="K29" t="str">
        <f t="shared" si="5"/>
        <v>2023-06-10</v>
      </c>
      <c r="L29" t="str">
        <f t="shared" si="5"/>
        <v>2023-06-14</v>
      </c>
      <c r="M29" t="str">
        <f t="shared" si="3"/>
        <v>(12, 12, 2, 0, '2023-06-10', '2023-06-14', 599.96),</v>
      </c>
    </row>
    <row r="30" spans="1:13" x14ac:dyDescent="0.5">
      <c r="A30">
        <v>13</v>
      </c>
      <c r="B30" s="3">
        <v>208</v>
      </c>
      <c r="C30" s="3" t="s">
        <v>40</v>
      </c>
      <c r="D30" s="4">
        <v>1</v>
      </c>
      <c r="E30" s="4">
        <v>0</v>
      </c>
      <c r="F30" s="8">
        <v>45087</v>
      </c>
      <c r="G30" s="8">
        <v>45091</v>
      </c>
      <c r="H30" s="6">
        <v>599.96</v>
      </c>
      <c r="I30">
        <f t="shared" si="4"/>
        <v>12</v>
      </c>
      <c r="K30" t="str">
        <f t="shared" si="5"/>
        <v>2023-06-10</v>
      </c>
      <c r="L30" t="str">
        <f t="shared" si="5"/>
        <v>2023-06-14</v>
      </c>
      <c r="M30" t="str">
        <f t="shared" si="3"/>
        <v>(13, 12, 1, 0, '2023-06-10', '2023-06-14', 599.96),</v>
      </c>
    </row>
    <row r="31" spans="1:13" x14ac:dyDescent="0.5">
      <c r="A31">
        <v>14</v>
      </c>
      <c r="B31" s="1">
        <v>304</v>
      </c>
      <c r="C31" s="1" t="s">
        <v>16</v>
      </c>
      <c r="D31" s="2">
        <v>3</v>
      </c>
      <c r="E31" s="2">
        <v>0</v>
      </c>
      <c r="F31" s="9">
        <v>45094</v>
      </c>
      <c r="G31" s="9">
        <v>45095</v>
      </c>
      <c r="H31" s="7">
        <v>184.99</v>
      </c>
      <c r="I31">
        <f t="shared" si="4"/>
        <v>6</v>
      </c>
      <c r="K31" t="str">
        <f t="shared" si="5"/>
        <v>2023-06-17</v>
      </c>
      <c r="L31" t="str">
        <f t="shared" si="5"/>
        <v>2023-06-18</v>
      </c>
      <c r="M31" t="str">
        <f t="shared" si="3"/>
        <v>(14, 6, 3, 0, '2023-06-17', '2023-06-18', 184.99),</v>
      </c>
    </row>
    <row r="32" spans="1:13" x14ac:dyDescent="0.5">
      <c r="A32">
        <v>15</v>
      </c>
      <c r="B32" s="3">
        <v>205</v>
      </c>
      <c r="C32" s="17"/>
      <c r="D32" s="4">
        <v>2</v>
      </c>
      <c r="E32" s="4">
        <v>0</v>
      </c>
      <c r="F32" s="8">
        <v>45105</v>
      </c>
      <c r="G32" s="8">
        <v>45109</v>
      </c>
      <c r="H32" s="6">
        <v>699.96</v>
      </c>
      <c r="I32">
        <f t="shared" si="4"/>
        <v>0</v>
      </c>
      <c r="K32" t="str">
        <f t="shared" si="5"/>
        <v>2023-06-28</v>
      </c>
      <c r="L32" t="str">
        <f t="shared" si="5"/>
        <v>2023-07-02</v>
      </c>
      <c r="M32" t="str">
        <f t="shared" si="3"/>
        <v>(15, 0, 2, 0, '2023-06-28', '2023-07-02', 699.96),</v>
      </c>
    </row>
    <row r="33" spans="1:13" x14ac:dyDescent="0.5">
      <c r="A33">
        <v>16</v>
      </c>
      <c r="B33" s="1">
        <v>204</v>
      </c>
      <c r="C33" s="1" t="s">
        <v>28</v>
      </c>
      <c r="D33" s="2">
        <v>3</v>
      </c>
      <c r="E33" s="2">
        <v>1</v>
      </c>
      <c r="F33" s="9">
        <v>45120</v>
      </c>
      <c r="G33" s="9">
        <v>45121</v>
      </c>
      <c r="H33" s="7">
        <v>184.99</v>
      </c>
      <c r="I33">
        <f t="shared" si="4"/>
        <v>9</v>
      </c>
      <c r="K33" t="str">
        <f t="shared" si="5"/>
        <v>2023-07-13</v>
      </c>
      <c r="L33" t="str">
        <f t="shared" si="5"/>
        <v>2023-07-14</v>
      </c>
      <c r="M33" t="str">
        <f t="shared" si="3"/>
        <v>(16, 9, 3, 1, '2023-07-13', '2023-07-14', 184.99),</v>
      </c>
    </row>
    <row r="34" spans="1:13" x14ac:dyDescent="0.5">
      <c r="A34">
        <v>17</v>
      </c>
      <c r="B34" s="3">
        <v>401</v>
      </c>
      <c r="C34" s="3" t="s">
        <v>32</v>
      </c>
      <c r="D34" s="4">
        <v>4</v>
      </c>
      <c r="E34" s="4">
        <v>2</v>
      </c>
      <c r="F34" s="8">
        <v>45125</v>
      </c>
      <c r="G34" s="8">
        <v>45128</v>
      </c>
      <c r="H34" s="6">
        <v>1259.97</v>
      </c>
      <c r="I34">
        <f t="shared" si="4"/>
        <v>10</v>
      </c>
      <c r="K34" t="str">
        <f t="shared" si="5"/>
        <v>2023-07-18</v>
      </c>
      <c r="L34" t="str">
        <f t="shared" si="5"/>
        <v>2023-07-21</v>
      </c>
      <c r="M34" t="str">
        <f t="shared" si="3"/>
        <v>(17, 10, 4, 2, '2023-07-18', '2023-07-21', 1259.97),</v>
      </c>
    </row>
    <row r="35" spans="1:13" x14ac:dyDescent="0.5">
      <c r="A35">
        <v>18</v>
      </c>
      <c r="B35" s="1">
        <v>303</v>
      </c>
      <c r="C35" s="1" t="s">
        <v>4</v>
      </c>
      <c r="D35" s="2">
        <v>2</v>
      </c>
      <c r="E35" s="2">
        <v>1</v>
      </c>
      <c r="F35" s="9">
        <v>45135</v>
      </c>
      <c r="G35" s="9">
        <v>45136</v>
      </c>
      <c r="H35" s="7">
        <v>199.99</v>
      </c>
      <c r="I35">
        <f t="shared" si="4"/>
        <v>3</v>
      </c>
      <c r="K35" t="str">
        <f t="shared" si="5"/>
        <v>2023-07-28</v>
      </c>
      <c r="L35" t="str">
        <f t="shared" si="5"/>
        <v>2023-07-29</v>
      </c>
      <c r="M35" t="str">
        <f t="shared" si="3"/>
        <v>(18, 3, 2, 1, '2023-07-28', '2023-07-29', 199.99),</v>
      </c>
    </row>
    <row r="36" spans="1:13" x14ac:dyDescent="0.5">
      <c r="A36">
        <v>19</v>
      </c>
      <c r="B36" s="3">
        <v>305</v>
      </c>
      <c r="C36" s="3" t="s">
        <v>4</v>
      </c>
      <c r="D36" s="4">
        <v>1</v>
      </c>
      <c r="E36" s="4">
        <v>0</v>
      </c>
      <c r="F36" s="8">
        <v>45168</v>
      </c>
      <c r="G36" s="8">
        <v>45170</v>
      </c>
      <c r="H36" s="6">
        <v>349.98</v>
      </c>
      <c r="I36">
        <f t="shared" si="4"/>
        <v>3</v>
      </c>
      <c r="K36" t="str">
        <f t="shared" si="5"/>
        <v>2023-08-30</v>
      </c>
      <c r="L36" t="str">
        <f t="shared" si="5"/>
        <v>2023-09-01</v>
      </c>
      <c r="M36" t="str">
        <f t="shared" si="3"/>
        <v>(19, 3, 1, 0, '2023-08-30', '2023-09-01', 349.98),</v>
      </c>
    </row>
    <row r="37" spans="1:13" x14ac:dyDescent="0.5">
      <c r="A37">
        <v>20</v>
      </c>
      <c r="B37" s="1">
        <v>208</v>
      </c>
      <c r="C37" s="1" t="s">
        <v>0</v>
      </c>
      <c r="D37" s="2">
        <v>2</v>
      </c>
      <c r="E37" s="2">
        <v>0</v>
      </c>
      <c r="F37" s="9">
        <v>45185</v>
      </c>
      <c r="G37" s="9">
        <v>45186</v>
      </c>
      <c r="H37" s="7">
        <v>149.99</v>
      </c>
      <c r="I37">
        <f t="shared" si="4"/>
        <v>2</v>
      </c>
      <c r="K37" t="str">
        <f t="shared" si="5"/>
        <v>2023-09-16</v>
      </c>
      <c r="L37" t="str">
        <f t="shared" si="5"/>
        <v>2023-09-17</v>
      </c>
      <c r="M37" t="str">
        <f t="shared" si="3"/>
        <v>(20, 2, 2, 0, '2023-09-16', '2023-09-17', 149.99),</v>
      </c>
    </row>
    <row r="38" spans="1:13" x14ac:dyDescent="0.5">
      <c r="A38">
        <v>21</v>
      </c>
      <c r="B38" s="3">
        <v>203</v>
      </c>
      <c r="C38" s="3" t="s">
        <v>12</v>
      </c>
      <c r="D38" s="4">
        <v>2</v>
      </c>
      <c r="E38" s="4">
        <v>2</v>
      </c>
      <c r="F38" s="8">
        <v>45182</v>
      </c>
      <c r="G38" s="8">
        <v>45184</v>
      </c>
      <c r="H38" s="6">
        <v>399.98</v>
      </c>
      <c r="I38">
        <f t="shared" si="4"/>
        <v>5</v>
      </c>
      <c r="K38" t="str">
        <f t="shared" si="5"/>
        <v>2023-09-13</v>
      </c>
      <c r="L38" t="str">
        <f t="shared" si="5"/>
        <v>2023-09-15</v>
      </c>
      <c r="M38" t="str">
        <f t="shared" si="3"/>
        <v>(21, 5, 2, 2, '2023-09-13', '2023-09-15', 399.98),</v>
      </c>
    </row>
    <row r="39" spans="1:13" x14ac:dyDescent="0.5">
      <c r="A39">
        <v>22</v>
      </c>
      <c r="B39" s="1">
        <v>401</v>
      </c>
      <c r="C39" s="1" t="s">
        <v>8</v>
      </c>
      <c r="D39" s="2">
        <v>2</v>
      </c>
      <c r="E39" s="2">
        <v>2</v>
      </c>
      <c r="F39" s="9">
        <v>45252</v>
      </c>
      <c r="G39" s="9">
        <v>45255</v>
      </c>
      <c r="H39" s="7">
        <v>1199.97</v>
      </c>
      <c r="I39">
        <f t="shared" si="4"/>
        <v>4</v>
      </c>
      <c r="K39" t="str">
        <f t="shared" si="5"/>
        <v>2023-11-22</v>
      </c>
      <c r="L39" t="str">
        <f t="shared" si="5"/>
        <v>2023-11-25</v>
      </c>
      <c r="M39" t="str">
        <f t="shared" si="3"/>
        <v>(22, 4, 2, 2, '2023-11-22', '2023-11-25', 1199.97),</v>
      </c>
    </row>
    <row r="40" spans="1:13" x14ac:dyDescent="0.5">
      <c r="A40">
        <v>23</v>
      </c>
      <c r="B40" s="3">
        <v>206</v>
      </c>
      <c r="C40" s="3" t="s">
        <v>0</v>
      </c>
      <c r="D40" s="4">
        <v>2</v>
      </c>
      <c r="E40" s="4">
        <v>0</v>
      </c>
      <c r="F40" s="8">
        <v>45252</v>
      </c>
      <c r="G40" s="8">
        <v>45255</v>
      </c>
      <c r="H40" s="6">
        <v>449.97</v>
      </c>
      <c r="I40">
        <f t="shared" si="4"/>
        <v>2</v>
      </c>
      <c r="K40" t="str">
        <f t="shared" si="5"/>
        <v>2023-11-22</v>
      </c>
      <c r="L40" t="str">
        <f t="shared" si="5"/>
        <v>2023-11-25</v>
      </c>
      <c r="M40" t="str">
        <f t="shared" si="3"/>
        <v>(23, 2, 2, 0, '2023-11-22', '2023-11-25', 449.97),</v>
      </c>
    </row>
    <row r="41" spans="1:13" x14ac:dyDescent="0.5">
      <c r="A41">
        <v>24</v>
      </c>
      <c r="B41" s="1">
        <v>301</v>
      </c>
      <c r="C41" s="1" t="s">
        <v>0</v>
      </c>
      <c r="D41" s="2">
        <v>2</v>
      </c>
      <c r="E41" s="2">
        <v>2</v>
      </c>
      <c r="F41" s="9">
        <v>45252</v>
      </c>
      <c r="G41" s="9">
        <v>45255</v>
      </c>
      <c r="H41" s="7">
        <v>599.97</v>
      </c>
      <c r="I41">
        <f t="shared" si="4"/>
        <v>2</v>
      </c>
      <c r="K41" t="str">
        <f t="shared" si="5"/>
        <v>2023-11-22</v>
      </c>
      <c r="L41" t="str">
        <f t="shared" si="5"/>
        <v>2023-11-25</v>
      </c>
      <c r="M41" t="str">
        <f t="shared" si="3"/>
        <v>(24, 2, 2, 2, '2023-11-22', '2023-11-25', 599.97),</v>
      </c>
    </row>
    <row r="42" spans="1:13" x14ac:dyDescent="0.5">
      <c r="A42">
        <v>25</v>
      </c>
      <c r="B42" s="3">
        <v>302</v>
      </c>
      <c r="C42" s="3" t="s">
        <v>36</v>
      </c>
      <c r="D42" s="4">
        <v>2</v>
      </c>
      <c r="E42" s="4">
        <v>0</v>
      </c>
      <c r="F42" s="8">
        <v>45284</v>
      </c>
      <c r="G42" s="8">
        <v>45288</v>
      </c>
      <c r="H42" s="6">
        <v>699.96</v>
      </c>
      <c r="I42">
        <f t="shared" si="4"/>
        <v>11</v>
      </c>
      <c r="K42" t="str">
        <f t="shared" si="5"/>
        <v>2023-12-24</v>
      </c>
      <c r="L42" t="str">
        <f t="shared" si="5"/>
        <v>2023-12-28</v>
      </c>
      <c r="M42" t="str">
        <f t="shared" si="3"/>
        <v>(25, 11, 2, 0, '2023-12-24', '2023-12-28', 699.96),</v>
      </c>
    </row>
    <row r="46" spans="1:13" x14ac:dyDescent="0.5">
      <c r="A46" s="5" t="s">
        <v>85</v>
      </c>
      <c r="B46" s="5" t="s">
        <v>86</v>
      </c>
      <c r="C46" s="5" t="s">
        <v>87</v>
      </c>
      <c r="D46" s="5" t="s">
        <v>88</v>
      </c>
      <c r="E46" s="5" t="s">
        <v>89</v>
      </c>
      <c r="F46" s="5" t="s">
        <v>90</v>
      </c>
      <c r="G46" s="5" t="s">
        <v>91</v>
      </c>
      <c r="H46" s="5" t="s">
        <v>92</v>
      </c>
      <c r="I46" t="s">
        <v>105</v>
      </c>
      <c r="J46" t="s">
        <v>107</v>
      </c>
    </row>
    <row r="47" spans="1:13" x14ac:dyDescent="0.5">
      <c r="A47" s="4">
        <v>201</v>
      </c>
      <c r="B47" s="3" t="s">
        <v>93</v>
      </c>
      <c r="C47" s="3" t="s">
        <v>94</v>
      </c>
      <c r="D47" s="3" t="s">
        <v>95</v>
      </c>
      <c r="E47" s="4">
        <v>2</v>
      </c>
      <c r="F47" s="4">
        <v>4</v>
      </c>
      <c r="G47" s="6">
        <v>199.99</v>
      </c>
      <c r="H47" s="10">
        <v>10</v>
      </c>
      <c r="I47">
        <f>SUMIFS($A$69:$A$71,$B$69:$B$71,B47)</f>
        <v>2</v>
      </c>
      <c r="J47">
        <f>IF(D47="No",0,1)</f>
        <v>0</v>
      </c>
      <c r="M47" t="str">
        <f>CONCATENATE("(","'",A47,"'", ", ", I47, ", ",J47, ", ",G47,"),")</f>
        <v>('201', 2, 0, 199.99),</v>
      </c>
    </row>
    <row r="48" spans="1:13" x14ac:dyDescent="0.5">
      <c r="A48" s="2">
        <v>202</v>
      </c>
      <c r="B48" s="1" t="s">
        <v>93</v>
      </c>
      <c r="C48" s="1" t="s">
        <v>96</v>
      </c>
      <c r="D48" s="1" t="s">
        <v>97</v>
      </c>
      <c r="E48" s="2">
        <v>2</v>
      </c>
      <c r="F48" s="2">
        <v>4</v>
      </c>
      <c r="G48" s="7">
        <v>174.99</v>
      </c>
      <c r="H48" s="11">
        <v>10</v>
      </c>
      <c r="I48">
        <f t="shared" ref="I48:I64" si="6">SUMIFS($A$69:$A$71,$B$69:$B$71,B48)</f>
        <v>2</v>
      </c>
      <c r="J48">
        <f t="shared" ref="J48:J64" si="7">IF(D48="No",0,1)</f>
        <v>1</v>
      </c>
      <c r="M48" t="str">
        <f t="shared" ref="M48:M63" si="8">CONCATENATE("(","'",A48,"'", ", ", I48, ", ",J48, ", ",G48,"),")</f>
        <v>('202', 2, 1, 174.99),</v>
      </c>
    </row>
    <row r="49" spans="1:13" x14ac:dyDescent="0.5">
      <c r="A49" s="4">
        <v>203</v>
      </c>
      <c r="B49" s="3" t="s">
        <v>93</v>
      </c>
      <c r="C49" s="3" t="s">
        <v>94</v>
      </c>
      <c r="D49" s="3" t="s">
        <v>95</v>
      </c>
      <c r="E49" s="4">
        <v>2</v>
      </c>
      <c r="F49" s="4">
        <v>4</v>
      </c>
      <c r="G49" s="6">
        <v>199.99</v>
      </c>
      <c r="H49" s="10">
        <v>10</v>
      </c>
      <c r="I49">
        <f t="shared" si="6"/>
        <v>2</v>
      </c>
      <c r="J49">
        <f t="shared" si="7"/>
        <v>0</v>
      </c>
      <c r="M49" t="str">
        <f t="shared" si="8"/>
        <v>('203', 2, 0, 199.99),</v>
      </c>
    </row>
    <row r="50" spans="1:13" x14ac:dyDescent="0.5">
      <c r="A50" s="2">
        <v>204</v>
      </c>
      <c r="B50" s="1" t="s">
        <v>93</v>
      </c>
      <c r="C50" s="1" t="s">
        <v>96</v>
      </c>
      <c r="D50" s="1" t="s">
        <v>97</v>
      </c>
      <c r="E50" s="2">
        <v>2</v>
      </c>
      <c r="F50" s="2">
        <v>4</v>
      </c>
      <c r="G50" s="7">
        <v>174.99</v>
      </c>
      <c r="H50" s="11">
        <v>10</v>
      </c>
      <c r="I50">
        <f t="shared" si="6"/>
        <v>2</v>
      </c>
      <c r="J50">
        <f t="shared" si="7"/>
        <v>1</v>
      </c>
      <c r="M50" t="str">
        <f t="shared" si="8"/>
        <v>('204', 2, 1, 174.99),</v>
      </c>
    </row>
    <row r="51" spans="1:13" ht="19" x14ac:dyDescent="0.5">
      <c r="A51" s="4">
        <v>205</v>
      </c>
      <c r="B51" s="3" t="s">
        <v>98</v>
      </c>
      <c r="C51" s="3" t="s">
        <v>99</v>
      </c>
      <c r="D51" s="3" t="s">
        <v>95</v>
      </c>
      <c r="E51" s="4">
        <v>2</v>
      </c>
      <c r="F51" s="4">
        <v>2</v>
      </c>
      <c r="G51" s="6">
        <v>174.99</v>
      </c>
      <c r="H51" s="4" t="s">
        <v>100</v>
      </c>
      <c r="I51">
        <f t="shared" si="6"/>
        <v>1</v>
      </c>
      <c r="J51">
        <f t="shared" si="7"/>
        <v>0</v>
      </c>
      <c r="M51" t="str">
        <f t="shared" si="8"/>
        <v>('205', 1, 0, 174.99),</v>
      </c>
    </row>
    <row r="52" spans="1:13" x14ac:dyDescent="0.5">
      <c r="A52" s="2">
        <v>206</v>
      </c>
      <c r="B52" s="1" t="s">
        <v>98</v>
      </c>
      <c r="C52" s="1" t="s">
        <v>101</v>
      </c>
      <c r="D52" s="1" t="s">
        <v>97</v>
      </c>
      <c r="E52" s="2">
        <v>2</v>
      </c>
      <c r="F52" s="2">
        <v>2</v>
      </c>
      <c r="G52" s="7">
        <v>149.99</v>
      </c>
      <c r="H52" s="2" t="s">
        <v>100</v>
      </c>
      <c r="I52">
        <f t="shared" si="6"/>
        <v>1</v>
      </c>
      <c r="J52">
        <f t="shared" si="7"/>
        <v>1</v>
      </c>
      <c r="M52" t="str">
        <f t="shared" si="8"/>
        <v>('206', 1, 1, 149.99),</v>
      </c>
    </row>
    <row r="53" spans="1:13" ht="19" x14ac:dyDescent="0.5">
      <c r="A53" s="4">
        <v>207</v>
      </c>
      <c r="B53" s="3" t="s">
        <v>98</v>
      </c>
      <c r="C53" s="3" t="s">
        <v>99</v>
      </c>
      <c r="D53" s="3" t="s">
        <v>95</v>
      </c>
      <c r="E53" s="4">
        <v>2</v>
      </c>
      <c r="F53" s="4">
        <v>2</v>
      </c>
      <c r="G53" s="6">
        <v>174.99</v>
      </c>
      <c r="H53" s="4" t="s">
        <v>100</v>
      </c>
      <c r="I53">
        <f t="shared" si="6"/>
        <v>1</v>
      </c>
      <c r="J53">
        <f t="shared" si="7"/>
        <v>0</v>
      </c>
      <c r="M53" t="str">
        <f t="shared" si="8"/>
        <v>('207', 1, 0, 174.99),</v>
      </c>
    </row>
    <row r="54" spans="1:13" x14ac:dyDescent="0.5">
      <c r="A54" s="2">
        <v>208</v>
      </c>
      <c r="B54" s="1" t="s">
        <v>98</v>
      </c>
      <c r="C54" s="1" t="s">
        <v>101</v>
      </c>
      <c r="D54" s="1" t="s">
        <v>97</v>
      </c>
      <c r="E54" s="2">
        <v>2</v>
      </c>
      <c r="F54" s="2">
        <v>2</v>
      </c>
      <c r="G54" s="7">
        <v>149.99</v>
      </c>
      <c r="H54" s="2" t="s">
        <v>100</v>
      </c>
      <c r="I54">
        <f t="shared" si="6"/>
        <v>1</v>
      </c>
      <c r="J54">
        <f t="shared" si="7"/>
        <v>1</v>
      </c>
      <c r="M54" t="str">
        <f t="shared" si="8"/>
        <v>('208', 1, 1, 149.99),</v>
      </c>
    </row>
    <row r="55" spans="1:13" x14ac:dyDescent="0.5">
      <c r="A55" s="4">
        <v>301</v>
      </c>
      <c r="B55" s="3" t="s">
        <v>93</v>
      </c>
      <c r="C55" s="3" t="s">
        <v>94</v>
      </c>
      <c r="D55" s="3" t="s">
        <v>95</v>
      </c>
      <c r="E55" s="4">
        <v>2</v>
      </c>
      <c r="F55" s="4">
        <v>4</v>
      </c>
      <c r="G55" s="6">
        <v>199.99</v>
      </c>
      <c r="H55" s="10">
        <v>10</v>
      </c>
      <c r="I55">
        <f t="shared" si="6"/>
        <v>2</v>
      </c>
      <c r="J55">
        <f t="shared" si="7"/>
        <v>0</v>
      </c>
      <c r="M55" t="str">
        <f t="shared" si="8"/>
        <v>('301', 2, 0, 199.99),</v>
      </c>
    </row>
    <row r="56" spans="1:13" x14ac:dyDescent="0.5">
      <c r="A56" s="2">
        <v>302</v>
      </c>
      <c r="B56" s="1" t="s">
        <v>93</v>
      </c>
      <c r="C56" s="1" t="s">
        <v>96</v>
      </c>
      <c r="D56" s="1" t="s">
        <v>97</v>
      </c>
      <c r="E56" s="2">
        <v>2</v>
      </c>
      <c r="F56" s="2">
        <v>4</v>
      </c>
      <c r="G56" s="7">
        <v>174.99</v>
      </c>
      <c r="H56" s="11">
        <v>10</v>
      </c>
      <c r="I56">
        <f t="shared" si="6"/>
        <v>2</v>
      </c>
      <c r="J56">
        <f t="shared" si="7"/>
        <v>1</v>
      </c>
      <c r="M56" t="str">
        <f t="shared" si="8"/>
        <v>('302', 2, 1, 174.99),</v>
      </c>
    </row>
    <row r="57" spans="1:13" x14ac:dyDescent="0.5">
      <c r="A57" s="4">
        <v>303</v>
      </c>
      <c r="B57" s="3" t="s">
        <v>93</v>
      </c>
      <c r="C57" s="3" t="s">
        <v>94</v>
      </c>
      <c r="D57" s="3" t="s">
        <v>95</v>
      </c>
      <c r="E57" s="4">
        <v>2</v>
      </c>
      <c r="F57" s="4">
        <v>4</v>
      </c>
      <c r="G57" s="6">
        <v>199.99</v>
      </c>
      <c r="H57" s="10">
        <v>10</v>
      </c>
      <c r="I57">
        <f t="shared" si="6"/>
        <v>2</v>
      </c>
      <c r="J57">
        <f t="shared" si="7"/>
        <v>0</v>
      </c>
      <c r="M57" t="str">
        <f t="shared" si="8"/>
        <v>('303', 2, 0, 199.99),</v>
      </c>
    </row>
    <row r="58" spans="1:13" x14ac:dyDescent="0.5">
      <c r="A58" s="2">
        <v>304</v>
      </c>
      <c r="B58" s="1" t="s">
        <v>93</v>
      </c>
      <c r="C58" s="1" t="s">
        <v>96</v>
      </c>
      <c r="D58" s="1" t="s">
        <v>97</v>
      </c>
      <c r="E58" s="2">
        <v>2</v>
      </c>
      <c r="F58" s="2">
        <v>4</v>
      </c>
      <c r="G58" s="7">
        <v>174.99</v>
      </c>
      <c r="H58" s="11">
        <v>10</v>
      </c>
      <c r="I58">
        <f t="shared" si="6"/>
        <v>2</v>
      </c>
      <c r="J58">
        <f t="shared" si="7"/>
        <v>1</v>
      </c>
      <c r="M58" t="str">
        <f t="shared" si="8"/>
        <v>('304', 2, 1, 174.99),</v>
      </c>
    </row>
    <row r="59" spans="1:13" ht="19" x14ac:dyDescent="0.5">
      <c r="A59" s="4">
        <v>305</v>
      </c>
      <c r="B59" s="3" t="s">
        <v>98</v>
      </c>
      <c r="C59" s="3" t="s">
        <v>99</v>
      </c>
      <c r="D59" s="3" t="s">
        <v>95</v>
      </c>
      <c r="E59" s="4">
        <v>2</v>
      </c>
      <c r="F59" s="4">
        <v>2</v>
      </c>
      <c r="G59" s="6">
        <v>174.99</v>
      </c>
      <c r="H59" s="4" t="s">
        <v>100</v>
      </c>
      <c r="I59">
        <f t="shared" si="6"/>
        <v>1</v>
      </c>
      <c r="J59">
        <f t="shared" si="7"/>
        <v>0</v>
      </c>
      <c r="M59" t="str">
        <f t="shared" si="8"/>
        <v>('305', 1, 0, 174.99),</v>
      </c>
    </row>
    <row r="60" spans="1:13" x14ac:dyDescent="0.5">
      <c r="A60" s="2">
        <v>306</v>
      </c>
      <c r="B60" s="1" t="s">
        <v>98</v>
      </c>
      <c r="C60" s="1" t="s">
        <v>102</v>
      </c>
      <c r="D60" s="1" t="s">
        <v>97</v>
      </c>
      <c r="E60" s="2">
        <v>2</v>
      </c>
      <c r="F60" s="2">
        <v>2</v>
      </c>
      <c r="G60" s="7">
        <v>149.99</v>
      </c>
      <c r="H60" s="2" t="s">
        <v>100</v>
      </c>
      <c r="I60">
        <f t="shared" si="6"/>
        <v>1</v>
      </c>
      <c r="J60">
        <f t="shared" si="7"/>
        <v>1</v>
      </c>
      <c r="M60" t="str">
        <f t="shared" si="8"/>
        <v>('306', 1, 1, 149.99),</v>
      </c>
    </row>
    <row r="61" spans="1:13" ht="19" x14ac:dyDescent="0.5">
      <c r="A61" s="4">
        <v>307</v>
      </c>
      <c r="B61" s="3" t="s">
        <v>98</v>
      </c>
      <c r="C61" s="3" t="s">
        <v>99</v>
      </c>
      <c r="D61" s="3" t="s">
        <v>95</v>
      </c>
      <c r="E61" s="4">
        <v>2</v>
      </c>
      <c r="F61" s="4">
        <v>2</v>
      </c>
      <c r="G61" s="6">
        <v>174.99</v>
      </c>
      <c r="H61" s="4" t="s">
        <v>100</v>
      </c>
      <c r="I61">
        <f t="shared" si="6"/>
        <v>1</v>
      </c>
      <c r="J61">
        <f t="shared" si="7"/>
        <v>0</v>
      </c>
      <c r="M61" t="str">
        <f t="shared" si="8"/>
        <v>('307', 1, 0, 174.99),</v>
      </c>
    </row>
    <row r="62" spans="1:13" x14ac:dyDescent="0.5">
      <c r="A62" s="2">
        <v>308</v>
      </c>
      <c r="B62" s="1" t="s">
        <v>98</v>
      </c>
      <c r="C62" s="1" t="s">
        <v>101</v>
      </c>
      <c r="D62" s="1" t="s">
        <v>97</v>
      </c>
      <c r="E62" s="2">
        <v>2</v>
      </c>
      <c r="F62" s="2">
        <v>2</v>
      </c>
      <c r="G62" s="7">
        <v>149.99</v>
      </c>
      <c r="H62" s="2" t="s">
        <v>100</v>
      </c>
      <c r="I62">
        <f t="shared" si="6"/>
        <v>1</v>
      </c>
      <c r="J62">
        <f t="shared" si="7"/>
        <v>1</v>
      </c>
      <c r="M62" t="str">
        <f t="shared" si="8"/>
        <v>('308', 1, 1, 149.99),</v>
      </c>
    </row>
    <row r="63" spans="1:13" x14ac:dyDescent="0.5">
      <c r="A63" s="4">
        <v>401</v>
      </c>
      <c r="B63" s="3" t="s">
        <v>103</v>
      </c>
      <c r="C63" s="3" t="s">
        <v>104</v>
      </c>
      <c r="D63" s="3" t="s">
        <v>97</v>
      </c>
      <c r="E63" s="4">
        <v>3</v>
      </c>
      <c r="F63" s="4">
        <v>8</v>
      </c>
      <c r="G63" s="6">
        <v>399.99</v>
      </c>
      <c r="H63" s="10">
        <v>20</v>
      </c>
      <c r="I63">
        <f t="shared" si="6"/>
        <v>3</v>
      </c>
      <c r="J63">
        <f t="shared" si="7"/>
        <v>1</v>
      </c>
      <c r="M63" t="str">
        <f t="shared" si="8"/>
        <v>('401', 3, 1, 399.99),</v>
      </c>
    </row>
    <row r="64" spans="1:13" x14ac:dyDescent="0.5">
      <c r="A64" s="2">
        <v>402</v>
      </c>
      <c r="B64" s="1" t="s">
        <v>103</v>
      </c>
      <c r="C64" s="1" t="s">
        <v>104</v>
      </c>
      <c r="D64" s="1" t="s">
        <v>97</v>
      </c>
      <c r="E64" s="2">
        <v>3</v>
      </c>
      <c r="F64" s="2">
        <v>8</v>
      </c>
      <c r="G64" s="7">
        <v>399.99</v>
      </c>
      <c r="H64" s="11">
        <v>20</v>
      </c>
      <c r="I64">
        <f t="shared" si="6"/>
        <v>3</v>
      </c>
      <c r="J64">
        <f t="shared" si="7"/>
        <v>1</v>
      </c>
      <c r="M64" t="str">
        <f>CONCATENATE("(","'",A64,"'", ", ", I64, ", ",J64, ", ",G64,")")</f>
        <v>('402', 3, 1, 399.99)</v>
      </c>
    </row>
    <row r="68" spans="1:13" x14ac:dyDescent="0.5">
      <c r="A68" t="s">
        <v>105</v>
      </c>
      <c r="B68" t="s">
        <v>106</v>
      </c>
    </row>
    <row r="69" spans="1:13" x14ac:dyDescent="0.5">
      <c r="A69">
        <v>1</v>
      </c>
      <c r="B69" t="s">
        <v>98</v>
      </c>
    </row>
    <row r="70" spans="1:13" x14ac:dyDescent="0.5">
      <c r="A70">
        <v>2</v>
      </c>
      <c r="B70" t="s">
        <v>93</v>
      </c>
    </row>
    <row r="71" spans="1:13" x14ac:dyDescent="0.5">
      <c r="A71">
        <v>3</v>
      </c>
      <c r="B71" t="s">
        <v>103</v>
      </c>
    </row>
    <row r="75" spans="1:13" x14ac:dyDescent="0.5">
      <c r="A75" t="s">
        <v>79</v>
      </c>
      <c r="B75" s="5" t="s">
        <v>64</v>
      </c>
      <c r="C75" s="12"/>
      <c r="D75" s="12"/>
      <c r="E75" s="12"/>
      <c r="F75" s="12"/>
      <c r="G75" s="12"/>
      <c r="H75" s="12"/>
    </row>
    <row r="76" spans="1:13" x14ac:dyDescent="0.5">
      <c r="A76">
        <v>1</v>
      </c>
      <c r="B76" s="3">
        <v>308</v>
      </c>
      <c r="C76" s="13"/>
      <c r="D76" s="14"/>
      <c r="E76" s="14"/>
      <c r="F76" s="15"/>
      <c r="G76" s="15"/>
      <c r="H76" s="16"/>
      <c r="M76" t="str">
        <f>CONCATENATE("(",A76,", '",B76,"'","),")</f>
        <v>(1, '308'),</v>
      </c>
    </row>
    <row r="77" spans="1:13" x14ac:dyDescent="0.5">
      <c r="A77">
        <v>2</v>
      </c>
      <c r="B77" s="1">
        <v>203</v>
      </c>
      <c r="C77" s="13"/>
      <c r="D77" s="14"/>
      <c r="E77" s="14"/>
      <c r="F77" s="15"/>
      <c r="G77" s="15"/>
      <c r="H77" s="16"/>
      <c r="M77" t="str">
        <f t="shared" ref="M77:M99" si="9">CONCATENATE("(",A77,", '",B77,"'","),")</f>
        <v>(2, '203'),</v>
      </c>
    </row>
    <row r="78" spans="1:13" x14ac:dyDescent="0.5">
      <c r="A78">
        <v>3</v>
      </c>
      <c r="B78" s="3">
        <v>305</v>
      </c>
      <c r="C78" s="13"/>
      <c r="D78" s="14"/>
      <c r="E78" s="14"/>
      <c r="F78" s="15"/>
      <c r="G78" s="15"/>
      <c r="H78" s="16"/>
      <c r="M78" t="str">
        <f t="shared" si="9"/>
        <v>(3, '305'),</v>
      </c>
    </row>
    <row r="79" spans="1:13" x14ac:dyDescent="0.5">
      <c r="A79">
        <v>4</v>
      </c>
      <c r="B79" s="1">
        <v>201</v>
      </c>
      <c r="C79" s="13"/>
      <c r="D79" s="14"/>
      <c r="E79" s="14"/>
      <c r="F79" s="15"/>
      <c r="G79" s="15"/>
      <c r="H79" s="16"/>
      <c r="M79" t="str">
        <f t="shared" si="9"/>
        <v>(4, '201'),</v>
      </c>
    </row>
    <row r="80" spans="1:13" x14ac:dyDescent="0.5">
      <c r="A80">
        <v>5</v>
      </c>
      <c r="B80" s="3">
        <v>307</v>
      </c>
      <c r="C80" s="13"/>
      <c r="D80" s="14"/>
      <c r="E80" s="14"/>
      <c r="F80" s="15"/>
      <c r="G80" s="15"/>
      <c r="H80" s="16"/>
      <c r="M80" t="str">
        <f t="shared" si="9"/>
        <v>(5, '307'),</v>
      </c>
    </row>
    <row r="81" spans="1:13" x14ac:dyDescent="0.5">
      <c r="A81">
        <v>6</v>
      </c>
      <c r="B81" s="1">
        <v>302</v>
      </c>
      <c r="C81" s="13"/>
      <c r="D81" s="14"/>
      <c r="E81" s="14"/>
      <c r="F81" s="15"/>
      <c r="G81" s="15"/>
      <c r="H81" s="16"/>
      <c r="M81" t="str">
        <f t="shared" si="9"/>
        <v>(6, '302'),</v>
      </c>
    </row>
    <row r="82" spans="1:13" x14ac:dyDescent="0.5">
      <c r="A82">
        <v>7</v>
      </c>
      <c r="B82" s="3">
        <v>202</v>
      </c>
      <c r="C82" s="13"/>
      <c r="D82" s="14"/>
      <c r="E82" s="14"/>
      <c r="F82" s="15"/>
      <c r="G82" s="15"/>
      <c r="H82" s="16"/>
      <c r="M82" t="str">
        <f t="shared" si="9"/>
        <v>(7, '202'),</v>
      </c>
    </row>
    <row r="83" spans="1:13" x14ac:dyDescent="0.5">
      <c r="A83">
        <v>8</v>
      </c>
      <c r="B83" s="1">
        <v>304</v>
      </c>
      <c r="C83" s="13"/>
      <c r="D83" s="14"/>
      <c r="E83" s="14"/>
      <c r="F83" s="15"/>
      <c r="G83" s="15"/>
      <c r="H83" s="16"/>
      <c r="M83" t="str">
        <f t="shared" si="9"/>
        <v>(8, '304'),</v>
      </c>
    </row>
    <row r="84" spans="1:13" x14ac:dyDescent="0.5">
      <c r="A84">
        <v>9</v>
      </c>
      <c r="B84" s="3">
        <v>301</v>
      </c>
      <c r="C84" s="13"/>
      <c r="D84" s="14"/>
      <c r="E84" s="14"/>
      <c r="F84" s="15"/>
      <c r="G84" s="15"/>
      <c r="H84" s="16"/>
      <c r="M84" t="str">
        <f t="shared" si="9"/>
        <v>(9, '301'),</v>
      </c>
    </row>
    <row r="85" spans="1:13" x14ac:dyDescent="0.5">
      <c r="A85">
        <v>10</v>
      </c>
      <c r="B85" s="1">
        <v>207</v>
      </c>
      <c r="C85" s="13"/>
      <c r="D85" s="14"/>
      <c r="E85" s="14"/>
      <c r="F85" s="15"/>
      <c r="G85" s="15"/>
      <c r="H85" s="16"/>
      <c r="M85" t="str">
        <f t="shared" si="9"/>
        <v>(10, '207'),</v>
      </c>
    </row>
    <row r="86" spans="1:13" x14ac:dyDescent="0.5">
      <c r="A86">
        <v>11</v>
      </c>
      <c r="B86" s="3">
        <v>401</v>
      </c>
      <c r="C86" s="13"/>
      <c r="D86" s="14"/>
      <c r="E86" s="14"/>
      <c r="F86" s="15"/>
      <c r="G86" s="15"/>
      <c r="H86" s="16"/>
      <c r="M86" t="str">
        <f t="shared" si="9"/>
        <v>(11, '401'),</v>
      </c>
    </row>
    <row r="87" spans="1:13" x14ac:dyDescent="0.5">
      <c r="A87">
        <v>12</v>
      </c>
      <c r="B87" s="1">
        <v>206</v>
      </c>
      <c r="C87" s="13"/>
      <c r="D87" s="14"/>
      <c r="E87" s="14"/>
      <c r="F87" s="15"/>
      <c r="G87" s="15"/>
      <c r="H87" s="16"/>
      <c r="M87" t="str">
        <f t="shared" si="9"/>
        <v>(12, '206'),</v>
      </c>
    </row>
    <row r="88" spans="1:13" x14ac:dyDescent="0.5">
      <c r="A88">
        <v>13</v>
      </c>
      <c r="B88" s="3">
        <v>208</v>
      </c>
      <c r="C88" s="13"/>
      <c r="D88" s="14"/>
      <c r="E88" s="14"/>
      <c r="F88" s="15"/>
      <c r="G88" s="15"/>
      <c r="H88" s="16"/>
      <c r="M88" t="str">
        <f t="shared" si="9"/>
        <v>(13, '208'),</v>
      </c>
    </row>
    <row r="89" spans="1:13" x14ac:dyDescent="0.5">
      <c r="A89">
        <v>14</v>
      </c>
      <c r="B89" s="1">
        <v>304</v>
      </c>
      <c r="C89" s="13"/>
      <c r="D89" s="14"/>
      <c r="E89" s="14"/>
      <c r="F89" s="15"/>
      <c r="G89" s="15"/>
      <c r="H89" s="16"/>
      <c r="M89" t="str">
        <f t="shared" si="9"/>
        <v>(14, '304'),</v>
      </c>
    </row>
    <row r="90" spans="1:13" x14ac:dyDescent="0.5">
      <c r="A90">
        <v>15</v>
      </c>
      <c r="B90" s="3">
        <v>205</v>
      </c>
      <c r="C90" s="13"/>
      <c r="D90" s="14"/>
      <c r="E90" s="14"/>
      <c r="F90" s="15"/>
      <c r="G90" s="15"/>
      <c r="H90" s="16"/>
      <c r="M90" t="str">
        <f t="shared" si="9"/>
        <v>(15, '205'),</v>
      </c>
    </row>
    <row r="91" spans="1:13" x14ac:dyDescent="0.5">
      <c r="A91">
        <v>16</v>
      </c>
      <c r="B91" s="1">
        <v>204</v>
      </c>
      <c r="C91" s="13"/>
      <c r="D91" s="14"/>
      <c r="E91" s="14"/>
      <c r="F91" s="15"/>
      <c r="G91" s="15"/>
      <c r="H91" s="16"/>
      <c r="M91" t="str">
        <f t="shared" si="9"/>
        <v>(16, '204'),</v>
      </c>
    </row>
    <row r="92" spans="1:13" x14ac:dyDescent="0.5">
      <c r="A92">
        <v>17</v>
      </c>
      <c r="B92" s="3">
        <v>401</v>
      </c>
      <c r="C92" s="13"/>
      <c r="D92" s="14"/>
      <c r="E92" s="14"/>
      <c r="F92" s="15"/>
      <c r="G92" s="15"/>
      <c r="H92" s="16"/>
      <c r="M92" t="str">
        <f t="shared" si="9"/>
        <v>(17, '401'),</v>
      </c>
    </row>
    <row r="93" spans="1:13" x14ac:dyDescent="0.5">
      <c r="A93">
        <v>18</v>
      </c>
      <c r="B93" s="1">
        <v>303</v>
      </c>
      <c r="C93" s="13"/>
      <c r="D93" s="14"/>
      <c r="E93" s="14"/>
      <c r="F93" s="15"/>
      <c r="G93" s="15"/>
      <c r="H93" s="16"/>
      <c r="M93" t="str">
        <f t="shared" si="9"/>
        <v>(18, '303'),</v>
      </c>
    </row>
    <row r="94" spans="1:13" x14ac:dyDescent="0.5">
      <c r="A94">
        <v>19</v>
      </c>
      <c r="B94" s="3">
        <v>305</v>
      </c>
      <c r="C94" s="13"/>
      <c r="D94" s="14"/>
      <c r="E94" s="14"/>
      <c r="F94" s="15"/>
      <c r="G94" s="15"/>
      <c r="H94" s="16"/>
      <c r="M94" t="str">
        <f t="shared" si="9"/>
        <v>(19, '305'),</v>
      </c>
    </row>
    <row r="95" spans="1:13" x14ac:dyDescent="0.5">
      <c r="A95">
        <v>20</v>
      </c>
      <c r="B95" s="1">
        <v>208</v>
      </c>
      <c r="C95" s="13"/>
      <c r="D95" s="14"/>
      <c r="E95" s="14"/>
      <c r="F95" s="15"/>
      <c r="G95" s="15"/>
      <c r="H95" s="16"/>
      <c r="M95" t="str">
        <f t="shared" si="9"/>
        <v>(20, '208'),</v>
      </c>
    </row>
    <row r="96" spans="1:13" x14ac:dyDescent="0.5">
      <c r="A96">
        <v>21</v>
      </c>
      <c r="B96" s="3">
        <v>203</v>
      </c>
      <c r="C96" s="13"/>
      <c r="D96" s="14"/>
      <c r="E96" s="14"/>
      <c r="F96" s="15"/>
      <c r="G96" s="15"/>
      <c r="H96" s="16"/>
      <c r="M96" t="str">
        <f t="shared" si="9"/>
        <v>(21, '203'),</v>
      </c>
    </row>
    <row r="97" spans="1:13" x14ac:dyDescent="0.5">
      <c r="A97">
        <v>22</v>
      </c>
      <c r="B97" s="1">
        <v>401</v>
      </c>
      <c r="C97" s="13"/>
      <c r="D97" s="14"/>
      <c r="E97" s="14"/>
      <c r="F97" s="15"/>
      <c r="G97" s="15"/>
      <c r="H97" s="16"/>
      <c r="M97" t="str">
        <f t="shared" si="9"/>
        <v>(22, '401'),</v>
      </c>
    </row>
    <row r="98" spans="1:13" x14ac:dyDescent="0.5">
      <c r="A98">
        <v>23</v>
      </c>
      <c r="B98" s="3">
        <v>206</v>
      </c>
      <c r="C98" s="13"/>
      <c r="D98" s="14"/>
      <c r="E98" s="14"/>
      <c r="F98" s="15"/>
      <c r="G98" s="15"/>
      <c r="H98" s="16"/>
      <c r="M98" t="str">
        <f t="shared" si="9"/>
        <v>(23, '206'),</v>
      </c>
    </row>
    <row r="99" spans="1:13" x14ac:dyDescent="0.5">
      <c r="A99">
        <v>24</v>
      </c>
      <c r="B99" s="1">
        <v>301</v>
      </c>
      <c r="C99" s="13"/>
      <c r="D99" s="14"/>
      <c r="E99" s="14"/>
      <c r="F99" s="15"/>
      <c r="G99" s="15"/>
      <c r="H99" s="16"/>
      <c r="M99" t="str">
        <f t="shared" si="9"/>
        <v>(24, '301'),</v>
      </c>
    </row>
    <row r="100" spans="1:13" x14ac:dyDescent="0.5">
      <c r="A100">
        <v>25</v>
      </c>
      <c r="B100" s="3">
        <v>302</v>
      </c>
      <c r="C100" s="13"/>
      <c r="D100" s="14"/>
      <c r="E100" s="14"/>
      <c r="F100" s="15"/>
      <c r="G100" s="15"/>
      <c r="H100" s="16"/>
      <c r="M100" t="str">
        <f>CONCATENATE("(",A100,", '",B100,"'",")")</f>
        <v>(25, '302')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Executor</dc:creator>
  <cp:lastModifiedBy>Executor</cp:lastModifiedBy>
  <dcterms:created xsi:type="dcterms:W3CDTF">2020-01-10T18:35:01Z</dcterms:created>
  <dcterms:modified xsi:type="dcterms:W3CDTF">2020-01-10T21:21:06Z</dcterms:modified>
</cp:coreProperties>
</file>